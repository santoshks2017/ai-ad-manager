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Model" sheetId="3" state="visible" r:id="rId5"/>
    <sheet name="P&amp;L" sheetId="4" state="visible" r:id="rId6"/>
    <sheet name="Cash Flow" sheetId="5" state="visible" r:id="rId7"/>
    <sheet name="Unit Economics" sheetId="6" state="visible" r:id="rId8"/>
    <sheet name="Scenari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<sst xmlns="http://schemas.openxmlformats.org/spreadsheetml/2006/main" count="161" uniqueCount="130">
  <si>
    <t xml:space="preserve">🚗  AI Ad Manager</t>
  </si>
  <si>
    <t xml:space="preserve">Business Plan &amp; Financial Model</t>
  </si>
  <si>
    <t xml:space="preserve">Helping Indian car dealerships run Google &amp; Meta ads — no agency needed.</t>
  </si>
  <si>
    <t xml:space="preserve">  Industry:   AutoTech / Car Dealership — India</t>
  </si>
  <si>
    <t xml:space="preserve">  Business Model:   SaaS Subscription (₹8,999–₹14,999/month per dealership)</t>
  </si>
  <si>
    <t xml:space="preserve">  Target Market:   Indian car dealerships — Tier 1 &amp; Tier 2 cities</t>
  </si>
  <si>
    <t xml:space="preserve">  Projection Period:   FY2025 – FY2029 (5 Years)</t>
  </si>
  <si>
    <t xml:space="preserve">📋  Model Sheets</t>
  </si>
  <si>
    <t xml:space="preserve">1. Cover  |  2. Assumptions  |  3. Revenue Model  |  4. P&amp;L  |  5. Cash Flow  |  6. Unit Economics  |  7. Scenarios</t>
  </si>
  <si>
    <t xml:space="preserve">CONFIDENTIAL — For internal use only. All projections are estimates based on market assumptions.</t>
  </si>
  <si>
    <t xml:space="preserve">ASSUMPTIONS &amp; KEY DRIVERS</t>
  </si>
  <si>
    <t xml:space="preserve">Parameter</t>
  </si>
  <si>
    <t xml:space="preserve">FY2025</t>
  </si>
  <si>
    <t xml:space="preserve">FY2026</t>
  </si>
  <si>
    <t xml:space="preserve">FY2027</t>
  </si>
  <si>
    <t xml:space="preserve">FY2028</t>
  </si>
  <si>
    <t xml:space="preserve">FY2029</t>
  </si>
  <si>
    <t xml:space="preserve">  MARKET &amp; DEALER ACQUISITION</t>
  </si>
  <si>
    <t xml:space="preserve">  Total Addressable Dealers (India)</t>
  </si>
  <si>
    <t xml:space="preserve">  New Dealers Added (per month)</t>
  </si>
  <si>
    <t xml:space="preserve">  Monthly Churn Rate</t>
  </si>
  <si>
    <t xml:space="preserve">  PRICING</t>
  </si>
  <si>
    <t xml:space="preserve">  Single Dealership Plan (₹/month)</t>
  </si>
  <si>
    <t xml:space="preserve">  Multi-Dealership Plan (₹/month)</t>
  </si>
  <si>
    <t xml:space="preserve">  % Dealers on Multi Plan</t>
  </si>
  <si>
    <t xml:space="preserve">  Annual Price Escalation</t>
  </si>
  <si>
    <t xml:space="preserve">  COST STRUCTURE</t>
  </si>
  <si>
    <t xml:space="preserve">  Founding Team Salaries (₹L/month)</t>
  </si>
  <si>
    <t xml:space="preserve">  Engineering Headcount (FTEs)</t>
  </si>
  <si>
    <t xml:space="preserve">  Avg Engineering Salary (₹L/month)</t>
  </si>
  <si>
    <t xml:space="preserve">  Sales &amp; Marketing Headcount (FTEs)</t>
  </si>
  <si>
    <t xml:space="preserve">  Avg Sales Salary (₹L/month)</t>
  </si>
  <si>
    <t xml:space="preserve">  Infra &amp; API Costs (₹/dealer/month)</t>
  </si>
  <si>
    <t xml:space="preserve">  G&amp;A Costs (₹L/month)</t>
  </si>
  <si>
    <t xml:space="preserve">  Sales &amp; Marketing Spend (% Revenue)</t>
  </si>
  <si>
    <t xml:space="preserve">  UNIT ECONOMICS</t>
  </si>
  <si>
    <t xml:space="preserve">  CAC</t>
  </si>
  <si>
    <t xml:space="preserve">  ARPU</t>
  </si>
  <si>
    <t xml:space="preserve">  LTV</t>
  </si>
  <si>
    <t xml:space="preserve">  LTV/CAC</t>
  </si>
  <si>
    <t xml:space="preserve">  Payback</t>
  </si>
  <si>
    <t xml:space="preserve">COLOUR LEGEND</t>
  </si>
  <si>
    <t xml:space="preserve">Blue text = Hardcoded input (you can change)</t>
  </si>
  <si>
    <t xml:space="preserve">Black text = Formula / calculated value</t>
  </si>
  <si>
    <t xml:space="preserve">Green text = Cross-sheet link</t>
  </si>
  <si>
    <t xml:space="preserve">Yellow background = Key assumption to review</t>
  </si>
  <si>
    <t xml:space="preserve">REVENUE MODEL — Monthly Dealer Build-Up &amp; Annual Revenue</t>
  </si>
  <si>
    <t xml:space="preserve">  DEALER COUNT (End of Year)</t>
  </si>
  <si>
    <t xml:space="preserve">  Beginning Dealers</t>
  </si>
  <si>
    <t xml:space="preserve">  New Dealers Added (Annual)</t>
  </si>
  <si>
    <t xml:space="preserve">  Churned Dealers</t>
  </si>
  <si>
    <t xml:space="preserve">  Ending Dealers</t>
  </si>
  <si>
    <t xml:space="preserve">  Average Active Dealers</t>
  </si>
  <si>
    <t xml:space="preserve">  — on Single Plan</t>
  </si>
  <si>
    <t xml:space="preserve">  — on Multi Plan</t>
  </si>
  <si>
    <t xml:space="preserve">  REVENUE (₹ Lakhs)</t>
  </si>
  <si>
    <t xml:space="preserve">  Single Plan Revenue</t>
  </si>
  <si>
    <t xml:space="preserve">  Multi Plan Revenue</t>
  </si>
  <si>
    <t xml:space="preserve">  Total Revenue (₹ Lakhs)</t>
  </si>
  <si>
    <t xml:space="preserve">  MoM Revenue Growth %</t>
  </si>
  <si>
    <t xml:space="preserve">-</t>
  </si>
  <si>
    <t xml:space="preserve">  ARR (₹ Lakhs)</t>
  </si>
  <si>
    <t xml:space="preserve">  GROSS MARGIN</t>
  </si>
  <si>
    <t xml:space="preserve">  Infrastructure &amp; API Costs</t>
  </si>
  <si>
    <t xml:space="preserve">  Gross Profit (₹ Lakhs)</t>
  </si>
  <si>
    <t xml:space="preserve">  Gross Margin %</t>
  </si>
  <si>
    <t xml:space="preserve">PROFIT &amp; LOSS STATEMENT (₹ Lakhs)</t>
  </si>
  <si>
    <t xml:space="preserve">  REVENUE</t>
  </si>
  <si>
    <t xml:space="preserve">  Subscription Revenue</t>
  </si>
  <si>
    <t xml:space="preserve">  Total Revenue</t>
  </si>
  <si>
    <t xml:space="preserve">  COST OF REVENUE</t>
  </si>
  <si>
    <t xml:space="preserve">  Gross Profit</t>
  </si>
  <si>
    <t xml:space="preserve">  OPERATING EXPENSES</t>
  </si>
  <si>
    <t xml:space="preserve">  Founding Team Salaries</t>
  </si>
  <si>
    <t xml:space="preserve">  Engineering Team</t>
  </si>
  <si>
    <t xml:space="preserve">  Sales &amp; Marketing Team</t>
  </si>
  <si>
    <t xml:space="preserve">  Sales &amp; Marketing Spend</t>
  </si>
  <si>
    <t xml:space="preserve">  General &amp; Administrative</t>
  </si>
  <si>
    <t xml:space="preserve">  Total OpEx</t>
  </si>
  <si>
    <t xml:space="preserve">  EBITDA</t>
  </si>
  <si>
    <t xml:space="preserve">  EBITDA Margin %</t>
  </si>
  <si>
    <t xml:space="preserve">  Depreciation &amp; Amortisation</t>
  </si>
  <si>
    <t xml:space="preserve">  EBIT</t>
  </si>
  <si>
    <t xml:space="preserve">  Tax (25%)</t>
  </si>
  <si>
    <t xml:space="preserve">  NET PROFIT / (LOSS)</t>
  </si>
  <si>
    <t xml:space="preserve">  Net Margin %</t>
  </si>
  <si>
    <t xml:space="preserve">CASH FLOW STATEMENT (₹ Lakhs)</t>
  </si>
  <si>
    <t xml:space="preserve">  OPERATING ACTIVITIES</t>
  </si>
  <si>
    <t xml:space="preserve">  Net Profit / (Loss)</t>
  </si>
  <si>
    <t xml:space="preserve">  Add: Depreciation &amp; Amort.</t>
  </si>
  <si>
    <t xml:space="preserve">  Working Capital Changes</t>
  </si>
  <si>
    <t xml:space="preserve">  Cash from Operations</t>
  </si>
  <si>
    <t xml:space="preserve">  INVESTING ACTIVITIES</t>
  </si>
  <si>
    <t xml:space="preserve">  Tech / Product Investment</t>
  </si>
  <si>
    <t xml:space="preserve">  Cash from Investing</t>
  </si>
  <si>
    <t xml:space="preserve">  FINANCING ACTIVITIES</t>
  </si>
  <si>
    <t xml:space="preserve">  Equity Raised</t>
  </si>
  <si>
    <t xml:space="preserve">  Cash from Financing</t>
  </si>
  <si>
    <t xml:space="preserve">  NET CASH FLOW</t>
  </si>
  <si>
    <t xml:space="preserve">  Opening Cash Balance</t>
  </si>
  <si>
    <t xml:space="preserve">  Closing Cash Balance</t>
  </si>
  <si>
    <t xml:space="preserve">UNIT ECONOMICS — CAC, LTV, Payback &amp; Cohort Metrics</t>
  </si>
  <si>
    <t xml:space="preserve">  ACQUISITION</t>
  </si>
  <si>
    <t xml:space="preserve">  New Dealers (Annual)</t>
  </si>
  <si>
    <t xml:space="preserve">  S&amp;M Team Cost (₹L)</t>
  </si>
  <si>
    <t xml:space="preserve">  S&amp;M Spend (₹L)</t>
  </si>
  <si>
    <t xml:space="preserve">  Total Acquisition Cost (₹L)</t>
  </si>
  <si>
    <t xml:space="preserve">  CAC (₹ per dealer)</t>
  </si>
  <si>
    <t xml:space="preserve">  MONETISATION</t>
  </si>
  <si>
    <t xml:space="preserve">  ARPU (₹/month)</t>
  </si>
  <si>
    <t xml:space="preserve">  Avg Customer Lifetime (months)</t>
  </si>
  <si>
    <t xml:space="preserve">  LTV (₹)</t>
  </si>
  <si>
    <t xml:space="preserve">  LTV / CAC Ratio</t>
  </si>
  <si>
    <t xml:space="preserve">  Payback Period (months)</t>
  </si>
  <si>
    <t xml:space="preserve">  COHORT &amp; HEALTH</t>
  </si>
  <si>
    <t xml:space="preserve">  MRR End of Year (₹L)</t>
  </si>
  <si>
    <t xml:space="preserve">  ARR End of Year (₹L)</t>
  </si>
  <si>
    <t xml:space="preserve">  MRR Growth YoY</t>
  </si>
  <si>
    <t xml:space="preserve">  Net Revenue Retention</t>
  </si>
  <si>
    <t xml:space="preserve">SCENARIO ANALYSIS — Bear / Base / Bull Case (FY2029)</t>
  </si>
  <si>
    <t xml:space="preserve">Metric</t>
  </si>
  <si>
    <t xml:space="preserve">Bear Case</t>
  </si>
  <si>
    <t xml:space="preserve">Base Case</t>
  </si>
  <si>
    <t xml:space="preserve">Bull Case</t>
  </si>
  <si>
    <t xml:space="preserve">  ASSUMPTIONS</t>
  </si>
  <si>
    <t xml:space="preserve">  New Dealers/month (FY2029)</t>
  </si>
  <si>
    <t xml:space="preserve">  S&amp;M as % Revenue</t>
  </si>
  <si>
    <t xml:space="preserve">  OUTCOMES (FY2029)</t>
  </si>
  <si>
    <t xml:space="preserve">  Total Dealers (End FY29)</t>
  </si>
  <si>
    <t xml:space="preserve">  EBITDA (₹ Lakhs)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</si>
</sst>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\₹#,##0;&quot;(₹&quot;#,##0\);\-"/>
    <numFmt numFmtId="168" formatCode="0.0\x"/>
    <numFmt numFmtId="169" formatCode="0.0;\(0.0\);\-"/>
    <numFmt numFmtId="170" formatCode="#,##0;\(#,##0\);\-"/>
    <numFmt numFmtId="171" formatCode="\₹#,##0.00;&quot;(₹&quot;#,##0.00\);\-"/>
    <numFmt numFmtId="172" formatCode="0.0%;\(0.0%\);\-"/>
    <numFmt numFmtId="173" formatCode="\₹#,##0.00;&quot;(₹&quot;#,##0.00\);\-"/>
    <numFmt numFmtId="174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A8C"/>
      </patternFill>
    </fill>
    <fill>
      <patternFill patternType="solid">
        <fgColor rgb="FF2E4A8C"/>
        <bgColor rgb="FF1F3864"/>
      </patternFill>
    </fill>
    <fill>
      <patternFill patternType="solid">
        <fgColor rgb="FFEEF2F9"/>
        <bgColor rgb="FFF2F2F2"/>
      </patternFill>
    </fill>
    <fill>
      <patternFill patternType="solid">
        <fgColor rgb="FFF2F2F2"/>
        <bgColor rgb="FFEEF2F9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FFE6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EEF2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E6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A8C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1" width="18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4" t="s">
        <v>2</v>
      </c>
      <c r="B7" s="4"/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5" t="s">
        <v>4</v>
      </c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5" t="s">
        <v>5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15" hidden="false" customHeight="true" outlineLevel="0" collapsed="false">
      <c r="A16" s="5" t="s">
        <v>6</v>
      </c>
      <c r="B16" s="5"/>
      <c r="C16" s="5"/>
      <c r="D16" s="5"/>
      <c r="E16" s="5"/>
      <c r="F16" s="5"/>
      <c r="G16" s="5"/>
      <c r="H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6" t="s">
        <v>7</v>
      </c>
      <c r="B18" s="6"/>
      <c r="C18" s="6"/>
      <c r="D18" s="6"/>
      <c r="E18" s="6"/>
      <c r="F18" s="6"/>
      <c r="G18" s="6"/>
      <c r="H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A21" s="7" t="s">
        <v>8</v>
      </c>
      <c r="B21" s="7"/>
      <c r="C21" s="7"/>
      <c r="D21" s="7"/>
      <c r="E21" s="7"/>
      <c r="F21" s="7"/>
      <c r="G21" s="7"/>
      <c r="H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true" outlineLevel="0" collapsed="false">
      <c r="A25" s="8" t="s">
        <v>9</v>
      </c>
    </row>
  </sheetData>
  <mergeCells count="9">
    <mergeCell ref="A1:H3"/>
    <mergeCell ref="A4:H6"/>
    <mergeCell ref="A7:H9"/>
    <mergeCell ref="A10:H11"/>
    <mergeCell ref="A12:H13"/>
    <mergeCell ref="A14:H15"/>
    <mergeCell ref="A16:H17"/>
    <mergeCell ref="A18:H20"/>
    <mergeCell ref="A21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6"/>
  </cols>
  <sheetData>
    <row r="1" customFormat="false" ht="34.5" hidden="false" customHeight="true" outlineLevel="0" collapsed="false">
      <c r="A1" s="9" t="s">
        <v>10</v>
      </c>
      <c r="B1" s="9"/>
      <c r="C1" s="9"/>
      <c r="D1" s="9"/>
      <c r="E1" s="9"/>
      <c r="F1" s="9"/>
    </row>
    <row r="2" customFormat="false" ht="21.75" hidden="false" customHeight="true" outlineLevel="0" collapsed="false">
      <c r="A2" s="10" t="s">
        <v>11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</row>
    <row r="3" customFormat="false" ht="19.5" hidden="false" customHeight="true" outlineLevel="0" collapsed="false">
      <c r="A3" s="11" t="s">
        <v>17</v>
      </c>
      <c r="B3" s="11"/>
      <c r="C3" s="11"/>
      <c r="D3" s="11"/>
      <c r="E3" s="11"/>
      <c r="F3" s="11"/>
    </row>
    <row r="4" customFormat="false" ht="19.5" hidden="false" customHeight="true" outlineLevel="0" collapsed="false">
      <c r="A4" s="12" t="s">
        <v>18</v>
      </c>
      <c r="B4" s="13" t="n">
        <v>15000</v>
      </c>
      <c r="C4" s="13" t="n">
        <v>15000</v>
      </c>
      <c r="D4" s="13" t="n">
        <v>15000</v>
      </c>
      <c r="E4" s="13" t="n">
        <v>15000</v>
      </c>
      <c r="F4" s="13" t="n">
        <v>15000</v>
      </c>
    </row>
    <row r="5" customFormat="false" ht="19.5" hidden="false" customHeight="true" outlineLevel="0" collapsed="false">
      <c r="A5" s="12" t="s">
        <v>19</v>
      </c>
      <c r="B5" s="13" t="n">
        <v>5</v>
      </c>
      <c r="C5" s="13" t="n">
        <v>12</v>
      </c>
      <c r="D5" s="13" t="n">
        <v>25</v>
      </c>
      <c r="E5" s="13" t="n">
        <v>40</v>
      </c>
      <c r="F5" s="13" t="n">
        <v>55</v>
      </c>
    </row>
    <row r="6" customFormat="false" ht="19.5" hidden="false" customHeight="true" outlineLevel="0" collapsed="false">
      <c r="A6" s="12" t="s">
        <v>20</v>
      </c>
      <c r="B6" s="14" t="n">
        <v>0.03</v>
      </c>
      <c r="C6" s="14" t="n">
        <v>0.025</v>
      </c>
      <c r="D6" s="14" t="n">
        <v>0.02</v>
      </c>
      <c r="E6" s="14" t="n">
        <v>0.018</v>
      </c>
      <c r="F6" s="14" t="n">
        <v>0.015</v>
      </c>
    </row>
    <row r="7" customFormat="false" ht="19.5" hidden="false" customHeight="true" outlineLevel="0" collapsed="false">
      <c r="A7" s="11" t="s">
        <v>21</v>
      </c>
      <c r="B7" s="11"/>
      <c r="C7" s="11"/>
      <c r="D7" s="11"/>
      <c r="E7" s="11"/>
      <c r="F7" s="11"/>
    </row>
    <row r="8" customFormat="false" ht="19.5" hidden="false" customHeight="true" outlineLevel="0" collapsed="false">
      <c r="A8" s="12" t="s">
        <v>22</v>
      </c>
      <c r="B8" s="13" t="n">
        <v>8999</v>
      </c>
      <c r="C8" s="13" t="n">
        <v>8999</v>
      </c>
      <c r="D8" s="13" t="n">
        <v>9499</v>
      </c>
      <c r="E8" s="13" t="n">
        <v>9499</v>
      </c>
      <c r="F8" s="13" t="n">
        <v>9999</v>
      </c>
    </row>
    <row r="9" customFormat="false" ht="19.5" hidden="false" customHeight="true" outlineLevel="0" collapsed="false">
      <c r="A9" s="12" t="s">
        <v>23</v>
      </c>
      <c r="B9" s="13" t="n">
        <v>14999</v>
      </c>
      <c r="C9" s="13" t="n">
        <v>14999</v>
      </c>
      <c r="D9" s="13" t="n">
        <v>15999</v>
      </c>
      <c r="E9" s="13" t="n">
        <v>15999</v>
      </c>
      <c r="F9" s="13" t="n">
        <v>16999</v>
      </c>
    </row>
    <row r="10" customFormat="false" ht="19.5" hidden="false" customHeight="true" outlineLevel="0" collapsed="false">
      <c r="A10" s="12" t="s">
        <v>24</v>
      </c>
      <c r="B10" s="14" t="n">
        <v>0.1</v>
      </c>
      <c r="C10" s="14" t="n">
        <v>0.15</v>
      </c>
      <c r="D10" s="14" t="n">
        <v>0.2</v>
      </c>
      <c r="E10" s="14" t="n">
        <v>0.25</v>
      </c>
      <c r="F10" s="14" t="n">
        <v>0.3</v>
      </c>
    </row>
    <row r="11" customFormat="false" ht="19.5" hidden="false" customHeight="true" outlineLevel="0" collapsed="false">
      <c r="A11" s="12" t="s">
        <v>25</v>
      </c>
      <c r="B11" s="14" t="n">
        <v>0</v>
      </c>
      <c r="C11" s="14" t="n">
        <v>0</v>
      </c>
      <c r="D11" s="14" t="n">
        <v>0.056</v>
      </c>
      <c r="E11" s="14" t="n">
        <v>0</v>
      </c>
      <c r="F11" s="14" t="n">
        <v>0.053</v>
      </c>
    </row>
    <row r="12" customFormat="false" ht="19.5" hidden="false" customHeight="true" outlineLevel="0" collapsed="false">
      <c r="A12" s="11" t="s">
        <v>26</v>
      </c>
      <c r="B12" s="11"/>
      <c r="C12" s="11"/>
      <c r="D12" s="11"/>
      <c r="E12" s="11"/>
      <c r="F12" s="11"/>
    </row>
    <row r="13" customFormat="false" ht="19.5" hidden="false" customHeight="true" outlineLevel="0" collapsed="false">
      <c r="A13" s="12" t="s">
        <v>27</v>
      </c>
      <c r="B13" s="13" t="n">
        <v>3</v>
      </c>
      <c r="C13" s="13" t="n">
        <v>5</v>
      </c>
      <c r="D13" s="13" t="n">
        <v>8</v>
      </c>
      <c r="E13" s="13" t="n">
        <v>12</v>
      </c>
      <c r="F13" s="13" t="n">
        <v>16</v>
      </c>
    </row>
    <row r="14" customFormat="false" ht="19.5" hidden="false" customHeight="true" outlineLevel="0" collapsed="false">
      <c r="A14" s="12" t="s">
        <v>28</v>
      </c>
      <c r="B14" s="13" t="n">
        <v>2</v>
      </c>
      <c r="C14" s="13" t="n">
        <v>4</v>
      </c>
      <c r="D14" s="13" t="n">
        <v>7</v>
      </c>
      <c r="E14" s="13" t="n">
        <v>11</v>
      </c>
      <c r="F14" s="13" t="n">
        <v>15</v>
      </c>
    </row>
    <row r="15" customFormat="false" ht="19.5" hidden="false" customHeight="true" outlineLevel="0" collapsed="false">
      <c r="A15" s="12" t="s">
        <v>29</v>
      </c>
      <c r="B15" s="13" t="n">
        <v>1.5</v>
      </c>
      <c r="C15" s="13" t="n">
        <v>1.6</v>
      </c>
      <c r="D15" s="13" t="n">
        <v>1.7</v>
      </c>
      <c r="E15" s="13" t="n">
        <v>1.8</v>
      </c>
      <c r="F15" s="13" t="n">
        <v>1.9</v>
      </c>
    </row>
    <row r="16" customFormat="false" ht="19.5" hidden="false" customHeight="true" outlineLevel="0" collapsed="false">
      <c r="A16" s="12" t="s">
        <v>30</v>
      </c>
      <c r="B16" s="13" t="n">
        <v>2</v>
      </c>
      <c r="C16" s="13" t="n">
        <v>4</v>
      </c>
      <c r="D16" s="13" t="n">
        <v>8</v>
      </c>
      <c r="E16" s="13" t="n">
        <v>14</v>
      </c>
      <c r="F16" s="13" t="n">
        <v>20</v>
      </c>
    </row>
    <row r="17" customFormat="false" ht="19.5" hidden="false" customHeight="true" outlineLevel="0" collapsed="false">
      <c r="A17" s="12" t="s">
        <v>31</v>
      </c>
      <c r="B17" s="13" t="n">
        <v>0.8</v>
      </c>
      <c r="C17" s="13" t="n">
        <v>0.9</v>
      </c>
      <c r="D17" s="13" t="n">
        <v>1</v>
      </c>
      <c r="E17" s="13" t="n">
        <v>1.1</v>
      </c>
      <c r="F17" s="13" t="n">
        <v>1.2</v>
      </c>
    </row>
    <row r="18" customFormat="false" ht="19.5" hidden="false" customHeight="true" outlineLevel="0" collapsed="false">
      <c r="A18" s="12" t="s">
        <v>32</v>
      </c>
      <c r="B18" s="13" t="n">
        <v>500</v>
      </c>
      <c r="C18" s="13" t="n">
        <v>450</v>
      </c>
      <c r="D18" s="13" t="n">
        <v>400</v>
      </c>
      <c r="E18" s="13" t="n">
        <v>350</v>
      </c>
      <c r="F18" s="13" t="n">
        <v>300</v>
      </c>
    </row>
    <row r="19" customFormat="false" ht="19.5" hidden="false" customHeight="true" outlineLevel="0" collapsed="false">
      <c r="A19" s="12" t="s">
        <v>33</v>
      </c>
      <c r="B19" s="13" t="n">
        <v>0.5</v>
      </c>
      <c r="C19" s="13" t="n">
        <v>0.8</v>
      </c>
      <c r="D19" s="13" t="n">
        <v>1.2</v>
      </c>
      <c r="E19" s="13" t="n">
        <v>1.8</v>
      </c>
      <c r="F19" s="13" t="n">
        <v>2.5</v>
      </c>
    </row>
    <row r="20" customFormat="false" ht="19.5" hidden="false" customHeight="true" outlineLevel="0" collapsed="false">
      <c r="A20" s="12" t="s">
        <v>34</v>
      </c>
      <c r="B20" s="14" t="n">
        <v>0.3</v>
      </c>
      <c r="C20" s="14" t="n">
        <v>0.25</v>
      </c>
      <c r="D20" s="14" t="n">
        <v>0.22</v>
      </c>
      <c r="E20" s="14" t="n">
        <v>0.2</v>
      </c>
      <c r="F20" s="14" t="n">
        <v>0.18</v>
      </c>
    </row>
    <row r="21" customFormat="false" ht="19.5" hidden="false" customHeight="true" outlineLevel="0" collapsed="false">
      <c r="A21" s="11" t="s">
        <v>35</v>
      </c>
      <c r="B21" s="11"/>
      <c r="C21" s="11"/>
      <c r="D21" s="11"/>
      <c r="E21" s="11"/>
      <c r="F21" s="11"/>
    </row>
    <row r="22" customFormat="false" ht="19.5" hidden="false" customHeight="true" outlineLevel="0" collapsed="false">
      <c r="A22" s="12" t="s">
        <v>36</v>
      </c>
      <c r="B22" s="15" t="n">
        <f aca="false">(B16*B17*100000*12)/(B5*12)</f>
        <v>32000</v>
      </c>
      <c r="C22" s="15" t="n">
        <f aca="false">(C16*C17*100000*12)/(C5*12)</f>
        <v>30000</v>
      </c>
      <c r="D22" s="15" t="n">
        <f aca="false">(D16*D17*100000*12)/(D5*12)</f>
        <v>32000</v>
      </c>
      <c r="E22" s="15" t="n">
        <f aca="false">(E16*E17*100000*12)/(E5*12)</f>
        <v>38500</v>
      </c>
      <c r="F22" s="15" t="n">
        <f aca="false">(F16*F17*100000*12)/(F5*12)</f>
        <v>43636.3636363636</v>
      </c>
    </row>
    <row r="23" customFormat="false" ht="19.5" hidden="false" customHeight="true" outlineLevel="0" collapsed="false">
      <c r="A23" s="12" t="s">
        <v>37</v>
      </c>
      <c r="B23" s="15" t="n">
        <f aca="false">B8*(1-B10)+B9*B10</f>
        <v>9599</v>
      </c>
      <c r="C23" s="15" t="n">
        <f aca="false">C8*(1-C10)+C9*C10</f>
        <v>9899</v>
      </c>
      <c r="D23" s="15" t="n">
        <f aca="false">D8*(1-D10)+D9*D10</f>
        <v>10799</v>
      </c>
      <c r="E23" s="15" t="n">
        <f aca="false">E8*(1-E10)+E9*E10</f>
        <v>11124</v>
      </c>
      <c r="F23" s="15" t="n">
        <f aca="false">F8*(1-F10)+F9*F10</f>
        <v>12099</v>
      </c>
    </row>
    <row r="24" customFormat="false" ht="19.5" hidden="false" customHeight="true" outlineLevel="0" collapsed="false">
      <c r="A24" s="12" t="s">
        <v>38</v>
      </c>
      <c r="B24" s="15" t="n">
        <f aca="false">B23/B6</f>
        <v>319966.666666667</v>
      </c>
      <c r="C24" s="15" t="n">
        <f aca="false">C23/C6</f>
        <v>395960</v>
      </c>
      <c r="D24" s="15" t="n">
        <f aca="false">D23/D6</f>
        <v>539950</v>
      </c>
      <c r="E24" s="15" t="n">
        <f aca="false">E23/E6</f>
        <v>618000</v>
      </c>
      <c r="F24" s="15" t="n">
        <f aca="false">F23/F6</f>
        <v>806600</v>
      </c>
    </row>
    <row r="25" customFormat="false" ht="19.5" hidden="false" customHeight="true" outlineLevel="0" collapsed="false">
      <c r="A25" s="12" t="s">
        <v>39</v>
      </c>
      <c r="B25" s="16" t="n">
        <f aca="false">IF(B22=0,0,B24/B22)</f>
        <v>9.99895833333333</v>
      </c>
      <c r="C25" s="16" t="n">
        <f aca="false">IF(C22=0,0,C24/C22)</f>
        <v>13.1986666666667</v>
      </c>
      <c r="D25" s="16" t="n">
        <f aca="false">IF(D22=0,0,D24/D22)</f>
        <v>16.8734375</v>
      </c>
      <c r="E25" s="16" t="n">
        <f aca="false">IF(E22=0,0,E24/E22)</f>
        <v>16.0519480519481</v>
      </c>
      <c r="F25" s="16" t="n">
        <f aca="false">IF(F22=0,0,F24/F22)</f>
        <v>18.4845833333333</v>
      </c>
    </row>
    <row r="26" customFormat="false" ht="19.5" hidden="false" customHeight="true" outlineLevel="0" collapsed="false">
      <c r="A26" s="12" t="s">
        <v>40</v>
      </c>
      <c r="B26" s="17" t="n">
        <f aca="false">IF(B23=0,0,B22/B23)</f>
        <v>3.33368059172831</v>
      </c>
      <c r="C26" s="17" t="n">
        <f aca="false">IF(C23=0,0,C23/C22)</f>
        <v>0.329966666666667</v>
      </c>
      <c r="D26" s="17" t="n">
        <f aca="false">IF(D23=0,0,D23/D22)</f>
        <v>0.33746875</v>
      </c>
      <c r="E26" s="17" t="n">
        <f aca="false">IF(E23=0,0,E23/E22)</f>
        <v>0.288935064935065</v>
      </c>
      <c r="F26" s="17" t="n">
        <f aca="false">IF(F23=0,0,F23/F22)</f>
        <v>0.27726875</v>
      </c>
    </row>
    <row r="28" customFormat="false" ht="15" hidden="false" customHeight="true" outlineLevel="0" collapsed="false">
      <c r="A28" s="18" t="s">
        <v>41</v>
      </c>
      <c r="B28" s="18"/>
      <c r="C28" s="18"/>
      <c r="D28" s="18"/>
      <c r="E28" s="18"/>
      <c r="F28" s="18"/>
    </row>
    <row r="29" customFormat="false" ht="15" hidden="false" customHeight="true" outlineLevel="0" collapsed="false">
      <c r="A29" s="19" t="s">
        <v>42</v>
      </c>
    </row>
    <row r="30" customFormat="false" ht="15" hidden="false" customHeight="true" outlineLevel="0" collapsed="false">
      <c r="A30" s="20" t="s">
        <v>43</v>
      </c>
    </row>
    <row r="31" customFormat="false" ht="15" hidden="false" customHeight="true" outlineLevel="0" collapsed="false">
      <c r="A31" s="21" t="s">
        <v>44</v>
      </c>
    </row>
    <row r="32" customFormat="false" ht="15" hidden="false" customHeight="true" outlineLevel="0" collapsed="false">
      <c r="A32" s="22" t="s">
        <v>45</v>
      </c>
    </row>
  </sheetData>
  <mergeCells count="6">
    <mergeCell ref="A1:F1"/>
    <mergeCell ref="A3:F3"/>
    <mergeCell ref="A7:F7"/>
    <mergeCell ref="A12:F12"/>
    <mergeCell ref="A21:F21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6"/>
  </cols>
  <sheetData>
    <row r="1" customFormat="false" ht="34.5" hidden="false" customHeight="true" outlineLevel="0" collapsed="false">
      <c r="A1" s="9" t="s">
        <v>46</v>
      </c>
      <c r="B1" s="9"/>
      <c r="C1" s="9"/>
      <c r="D1" s="9"/>
      <c r="E1" s="9"/>
      <c r="F1" s="9"/>
      <c r="G1" s="9"/>
    </row>
    <row r="2" customFormat="false" ht="21.75" hidden="false" customHeight="true" outlineLevel="0" collapsed="false"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</row>
    <row r="3" customFormat="false" ht="19.5" hidden="false" customHeight="true" outlineLevel="0" collapsed="false">
      <c r="A3" s="23" t="s">
        <v>47</v>
      </c>
    </row>
    <row r="4" customFormat="false" ht="19.5" hidden="false" customHeight="true" outlineLevel="0" collapsed="false">
      <c r="A4" s="12" t="s">
        <v>48</v>
      </c>
      <c r="B4" s="24" t="n">
        <v>0</v>
      </c>
      <c r="C4" s="25" t="n">
        <f aca="false">B7</f>
        <v>60</v>
      </c>
      <c r="D4" s="25" t="n">
        <f aca="false">C7</f>
        <v>186</v>
      </c>
      <c r="E4" s="25" t="n">
        <f aca="false">D7</f>
        <v>441</v>
      </c>
      <c r="F4" s="25" t="n">
        <f aca="false">E7</f>
        <v>826</v>
      </c>
    </row>
    <row r="5" customFormat="false" ht="19.5" hidden="false" customHeight="true" outlineLevel="0" collapsed="false">
      <c r="A5" s="12" t="s">
        <v>49</v>
      </c>
      <c r="B5" s="25" t="n">
        <f aca="false">Assumptions!B5*12</f>
        <v>60</v>
      </c>
      <c r="C5" s="25" t="n">
        <f aca="false">Assumptions!C5*12</f>
        <v>144</v>
      </c>
      <c r="D5" s="25" t="n">
        <f aca="false">Assumptions!D5*12</f>
        <v>300</v>
      </c>
      <c r="E5" s="25" t="n">
        <f aca="false">Assumptions!E5*12</f>
        <v>480</v>
      </c>
      <c r="F5" s="25" t="n">
        <f aca="false">Assumptions!F5*12</f>
        <v>660</v>
      </c>
    </row>
    <row r="6" customFormat="false" ht="19.5" hidden="false" customHeight="true" outlineLevel="0" collapsed="false">
      <c r="A6" s="12" t="s">
        <v>50</v>
      </c>
      <c r="B6" s="25" t="n">
        <f aca="false">-ROUND(B4*Assumptions!B6*12,0)</f>
        <v>-0</v>
      </c>
      <c r="C6" s="25" t="n">
        <f aca="false">-ROUND(C4*Assumptions!C6*12,0)</f>
        <v>-18</v>
      </c>
      <c r="D6" s="25" t="n">
        <f aca="false">-ROUND(D4*Assumptions!D6*12,0)</f>
        <v>-45</v>
      </c>
      <c r="E6" s="25" t="n">
        <f aca="false">-ROUND(E4*Assumptions!E6*12,0)</f>
        <v>-95</v>
      </c>
      <c r="F6" s="25" t="n">
        <f aca="false">-ROUND(F4*Assumptions!F6*12,0)</f>
        <v>-149</v>
      </c>
    </row>
    <row r="7" customFormat="false" ht="19.5" hidden="false" customHeight="true" outlineLevel="0" collapsed="false">
      <c r="A7" s="12" t="s">
        <v>51</v>
      </c>
      <c r="B7" s="26" t="n">
        <f aca="false">B4+B5+B6</f>
        <v>60</v>
      </c>
      <c r="C7" s="26" t="n">
        <f aca="false">C4+C5+C6</f>
        <v>186</v>
      </c>
      <c r="D7" s="26" t="n">
        <f aca="false">D4+D5+D6</f>
        <v>441</v>
      </c>
      <c r="E7" s="26" t="n">
        <f aca="false">E4+E5+E6</f>
        <v>826</v>
      </c>
      <c r="F7" s="26" t="n">
        <f aca="false">F4+F5+F6</f>
        <v>1337</v>
      </c>
    </row>
    <row r="8" customFormat="false" ht="19.5" hidden="false" customHeight="true" outlineLevel="0" collapsed="false">
      <c r="A8" s="12" t="s">
        <v>52</v>
      </c>
      <c r="B8" s="25" t="n">
        <f aca="false">ROUND((B4+B7)/2,0)</f>
        <v>30</v>
      </c>
      <c r="C8" s="25" t="n">
        <f aca="false">ROUND((C4+C7)/2,0)</f>
        <v>123</v>
      </c>
      <c r="D8" s="25" t="n">
        <f aca="false">ROUND((D4+D7)/2,0)</f>
        <v>314</v>
      </c>
      <c r="E8" s="25" t="n">
        <f aca="false">ROUND((E4+E7)/2,0)</f>
        <v>634</v>
      </c>
      <c r="F8" s="25" t="n">
        <f aca="false">ROUND((F4+F7)/2,0)</f>
        <v>1082</v>
      </c>
    </row>
    <row r="9" customFormat="false" ht="19.5" hidden="false" customHeight="true" outlineLevel="0" collapsed="false">
      <c r="A9" s="12" t="s">
        <v>53</v>
      </c>
      <c r="B9" s="25" t="n">
        <f aca="false">ROUND(B8*(1-Assumptions!B10),0)</f>
        <v>27</v>
      </c>
      <c r="C9" s="25" t="n">
        <f aca="false">ROUND(C8*(1-Assumptions!C10),0)</f>
        <v>105</v>
      </c>
      <c r="D9" s="25" t="n">
        <f aca="false">ROUND(D8*(1-Assumptions!D10),0)</f>
        <v>251</v>
      </c>
      <c r="E9" s="25" t="n">
        <f aca="false">ROUND(E8*(1-Assumptions!E10),0)</f>
        <v>476</v>
      </c>
      <c r="F9" s="25" t="n">
        <f aca="false">ROUND(F8*(1-Assumptions!F10),0)</f>
        <v>757</v>
      </c>
    </row>
    <row r="10" customFormat="false" ht="19.5" hidden="false" customHeight="true" outlineLevel="0" collapsed="false">
      <c r="A10" s="12" t="s">
        <v>54</v>
      </c>
      <c r="B10" s="25" t="n">
        <f aca="false">ROUND(B8*Assumptions!B10,0)</f>
        <v>3</v>
      </c>
      <c r="C10" s="25" t="n">
        <f aca="false">ROUND(C8*Assumptions!C10,0)</f>
        <v>18</v>
      </c>
      <c r="D10" s="25" t="n">
        <f aca="false">ROUND(D8*Assumptions!D10,0)</f>
        <v>63</v>
      </c>
      <c r="E10" s="25" t="n">
        <f aca="false">ROUND(E8*Assumptions!E10,0)</f>
        <v>159</v>
      </c>
      <c r="F10" s="25" t="n">
        <f aca="false">ROUND(F8*Assumptions!F10,0)</f>
        <v>325</v>
      </c>
    </row>
    <row r="11" customFormat="false" ht="19.5" hidden="false" customHeight="true" outlineLevel="0" collapsed="false">
      <c r="A11" s="23" t="s">
        <v>55</v>
      </c>
    </row>
    <row r="12" customFormat="false" ht="19.5" hidden="false" customHeight="true" outlineLevel="0" collapsed="false">
      <c r="A12" s="12" t="s">
        <v>56</v>
      </c>
      <c r="B12" s="27" t="n">
        <f aca="false">ROUND(B9*Assumptions!B8*12/100000,2)</f>
        <v>29.16</v>
      </c>
      <c r="C12" s="27" t="n">
        <f aca="false">ROUND(C9*Assumptions!C8*12/100000,2)</f>
        <v>113.39</v>
      </c>
      <c r="D12" s="27" t="n">
        <f aca="false">ROUND(D9*Assumptions!D8*12/100000,2)</f>
        <v>286.11</v>
      </c>
      <c r="E12" s="27" t="n">
        <f aca="false">ROUND(E9*Assumptions!E8*12/100000,2)</f>
        <v>542.58</v>
      </c>
      <c r="F12" s="27" t="n">
        <f aca="false">ROUND(F9*Assumptions!F8*12/100000,2)</f>
        <v>908.31</v>
      </c>
    </row>
    <row r="13" customFormat="false" ht="19.5" hidden="false" customHeight="true" outlineLevel="0" collapsed="false">
      <c r="A13" s="12" t="s">
        <v>57</v>
      </c>
      <c r="B13" s="27" t="n">
        <f aca="false">ROUND(B10*Assumptions!B9*12/100000,2)</f>
        <v>5.4</v>
      </c>
      <c r="C13" s="27" t="n">
        <f aca="false">ROUND(C10*Assumptions!C9*12/100000,2)</f>
        <v>32.4</v>
      </c>
      <c r="D13" s="27" t="n">
        <f aca="false">ROUND(D10*Assumptions!D9*12/100000,2)</f>
        <v>120.95</v>
      </c>
      <c r="E13" s="27" t="n">
        <f aca="false">ROUND(E10*Assumptions!E9*12/100000,2)</f>
        <v>305.26</v>
      </c>
      <c r="F13" s="27" t="n">
        <f aca="false">ROUND(F10*Assumptions!F9*12/100000,2)</f>
        <v>662.96</v>
      </c>
    </row>
    <row r="14" customFormat="false" ht="19.5" hidden="false" customHeight="true" outlineLevel="0" collapsed="false">
      <c r="A14" s="12" t="s">
        <v>58</v>
      </c>
      <c r="B14" s="28" t="n">
        <f aca="false">B12+B13</f>
        <v>34.56</v>
      </c>
      <c r="C14" s="28" t="n">
        <f aca="false">C12+C13</f>
        <v>145.79</v>
      </c>
      <c r="D14" s="28" t="n">
        <f aca="false">D12+D13</f>
        <v>407.06</v>
      </c>
      <c r="E14" s="28" t="n">
        <f aca="false">E12+E13</f>
        <v>847.84</v>
      </c>
      <c r="F14" s="28" t="n">
        <f aca="false">F12+F13</f>
        <v>1571.27</v>
      </c>
    </row>
    <row r="15" customFormat="false" ht="19.5" hidden="false" customHeight="true" outlineLevel="0" collapsed="false">
      <c r="A15" s="12" t="s">
        <v>59</v>
      </c>
      <c r="B15" s="29" t="s">
        <v>60</v>
      </c>
      <c r="C15" s="30" t="n">
        <f aca="false">IF(B14=0,0,(C14-B14)/B14)</f>
        <v>3.21846064814815</v>
      </c>
      <c r="D15" s="30" t="n">
        <f aca="false">IF(C14=0,0,(D14-C14)/C14)</f>
        <v>1.79209822347212</v>
      </c>
      <c r="E15" s="30" t="n">
        <f aca="false">IF(D14=0,0,(E14-D14)/D14)</f>
        <v>1.08283791087309</v>
      </c>
      <c r="F15" s="30" t="n">
        <f aca="false">IF(E14=0,0,(F14-E14)/E14)</f>
        <v>0.85326240800151</v>
      </c>
    </row>
    <row r="16" customFormat="false" ht="19.5" hidden="false" customHeight="true" outlineLevel="0" collapsed="false">
      <c r="A16" s="12" t="s">
        <v>61</v>
      </c>
      <c r="B16" s="27" t="n">
        <f aca="false">ROUND(B7*(Assumptions!B8*(1-Assumptions!B10)+Assumptions!B9*Assumptions!B10)*12/100000,2)</f>
        <v>69.11</v>
      </c>
      <c r="C16" s="27" t="n">
        <f aca="false">ROUND(C7*(Assumptions!C8*(1-Assumptions!C10)+Assumptions!C9*Assumptions!C10)*12/100000,2)</f>
        <v>220.95</v>
      </c>
      <c r="D16" s="27" t="n">
        <f aca="false">ROUND(D7*(Assumptions!D8*(1-Assumptions!D10)+Assumptions!D9*Assumptions!D10)*12/100000,2)</f>
        <v>571.48</v>
      </c>
      <c r="E16" s="27" t="n">
        <f aca="false">ROUND(E7*(Assumptions!E8*(1-Assumptions!E10)+Assumptions!E9*Assumptions!E10)*12/100000,2)</f>
        <v>1102.61</v>
      </c>
      <c r="F16" s="27" t="n">
        <f aca="false">ROUND(F7*(Assumptions!F8*(1-Assumptions!F10)+Assumptions!F9*Assumptions!F10)*12/100000,2)</f>
        <v>1941.16</v>
      </c>
    </row>
    <row r="17" customFormat="false" ht="19.5" hidden="false" customHeight="true" outlineLevel="0" collapsed="false">
      <c r="A17" s="23" t="s">
        <v>62</v>
      </c>
    </row>
    <row r="18" customFormat="false" ht="19.5" hidden="false" customHeight="true" outlineLevel="0" collapsed="false">
      <c r="A18" s="12" t="s">
        <v>63</v>
      </c>
      <c r="B18" s="27" t="n">
        <f aca="false">-ROUND(B8*Assumptions!B18*12/100000,2)</f>
        <v>-1.8</v>
      </c>
      <c r="C18" s="27" t="n">
        <f aca="false">-ROUND(C8*Assumptions!C18*12/100000,2)</f>
        <v>-6.64</v>
      </c>
      <c r="D18" s="27" t="n">
        <f aca="false">-ROUND(D8*Assumptions!D18*12/100000,2)</f>
        <v>-15.07</v>
      </c>
      <c r="E18" s="27" t="n">
        <f aca="false">-ROUND(E8*Assumptions!E18*12/100000,2)</f>
        <v>-26.63</v>
      </c>
      <c r="F18" s="27" t="n">
        <f aca="false">-ROUND(F8*Assumptions!F18*12/100000,2)</f>
        <v>-38.95</v>
      </c>
    </row>
    <row r="19" customFormat="false" ht="19.5" hidden="false" customHeight="true" outlineLevel="0" collapsed="false">
      <c r="A19" s="12" t="s">
        <v>64</v>
      </c>
      <c r="B19" s="28" t="n">
        <f aca="false">B14+B18</f>
        <v>32.76</v>
      </c>
      <c r="C19" s="28" t="n">
        <f aca="false">C14+C18</f>
        <v>139.15</v>
      </c>
      <c r="D19" s="28" t="n">
        <f aca="false">D14+D18</f>
        <v>391.99</v>
      </c>
      <c r="E19" s="28" t="n">
        <f aca="false">E14+E18</f>
        <v>821.21</v>
      </c>
      <c r="F19" s="28" t="n">
        <f aca="false">F14+F18</f>
        <v>1532.32</v>
      </c>
    </row>
    <row r="20" customFormat="false" ht="19.5" hidden="false" customHeight="true" outlineLevel="0" collapsed="false">
      <c r="A20" s="12" t="s">
        <v>65</v>
      </c>
      <c r="B20" s="30" t="n">
        <f aca="false">IF(B14=0,0,B19/B14)</f>
        <v>0.947916666666667</v>
      </c>
      <c r="C20" s="30" t="n">
        <f aca="false">IF(C14=0,0,C19/C14)</f>
        <v>0.954455038068455</v>
      </c>
      <c r="D20" s="30" t="n">
        <f aca="false">IF(D14=0,0,D19/D14)</f>
        <v>0.962978430698177</v>
      </c>
      <c r="E20" s="30" t="n">
        <f aca="false">IF(E14=0,0,E19/E14)</f>
        <v>0.968590771843744</v>
      </c>
      <c r="F20" s="30" t="n">
        <f aca="false">IF(F14=0,0,F19/F14)</f>
        <v>0.975211134941799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6"/>
  </cols>
  <sheetData>
    <row r="1" customFormat="false" ht="34.5" hidden="false" customHeight="true" outlineLevel="0" collapsed="false">
      <c r="A1" s="9" t="s">
        <v>66</v>
      </c>
      <c r="B1" s="9"/>
      <c r="C1" s="9"/>
      <c r="D1" s="9"/>
      <c r="E1" s="9"/>
      <c r="F1" s="9"/>
      <c r="G1" s="9"/>
    </row>
    <row r="2" customFormat="false" ht="21.75" hidden="false" customHeight="true" outlineLevel="0" collapsed="false"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</row>
    <row r="3" customFormat="false" ht="19.5" hidden="false" customHeight="true" outlineLevel="0" collapsed="false">
      <c r="A3" s="23" t="s">
        <v>67</v>
      </c>
    </row>
    <row r="4" customFormat="false" ht="19.5" hidden="false" customHeight="true" outlineLevel="0" collapsed="false">
      <c r="A4" s="12" t="s">
        <v>68</v>
      </c>
      <c r="B4" s="31" t="n">
        <f aca="false">'Revenue Model'!B14</f>
        <v>34.56</v>
      </c>
      <c r="C4" s="31" t="n">
        <f aca="false">'Revenue Model'!C14</f>
        <v>145.79</v>
      </c>
      <c r="D4" s="31" t="n">
        <f aca="false">'Revenue Model'!D14</f>
        <v>407.06</v>
      </c>
      <c r="E4" s="31" t="n">
        <f aca="false">'Revenue Model'!E14</f>
        <v>847.84</v>
      </c>
      <c r="F4" s="31" t="n">
        <f aca="false">'Revenue Model'!F14</f>
        <v>1571.27</v>
      </c>
    </row>
    <row r="5" customFormat="false" ht="19.5" hidden="false" customHeight="true" outlineLevel="0" collapsed="false">
      <c r="A5" s="12" t="s">
        <v>69</v>
      </c>
      <c r="B5" s="32" t="n">
        <f aca="false">B4</f>
        <v>34.56</v>
      </c>
      <c r="C5" s="32" t="n">
        <f aca="false">C4</f>
        <v>145.79</v>
      </c>
      <c r="D5" s="32" t="n">
        <f aca="false">D4</f>
        <v>407.06</v>
      </c>
      <c r="E5" s="32" t="n">
        <f aca="false">E4</f>
        <v>847.84</v>
      </c>
      <c r="F5" s="32" t="n">
        <f aca="false">F4</f>
        <v>1571.27</v>
      </c>
    </row>
    <row r="6" customFormat="false" ht="19.5" hidden="false" customHeight="true" outlineLevel="0" collapsed="false">
      <c r="A6" s="23" t="s">
        <v>70</v>
      </c>
    </row>
    <row r="7" customFormat="false" ht="19.5" hidden="false" customHeight="true" outlineLevel="0" collapsed="false">
      <c r="A7" s="12" t="s">
        <v>63</v>
      </c>
      <c r="B7" s="31" t="n">
        <f aca="false">'Revenue Model'!B18</f>
        <v>-1.8</v>
      </c>
      <c r="C7" s="31" t="n">
        <f aca="false">'Revenue Model'!C18</f>
        <v>-6.64</v>
      </c>
      <c r="D7" s="31" t="n">
        <f aca="false">'Revenue Model'!D18</f>
        <v>-15.07</v>
      </c>
      <c r="E7" s="31" t="n">
        <f aca="false">'Revenue Model'!E18</f>
        <v>-26.63</v>
      </c>
      <c r="F7" s="31" t="n">
        <f aca="false">'Revenue Model'!F18</f>
        <v>-38.95</v>
      </c>
    </row>
    <row r="8" customFormat="false" ht="19.5" hidden="false" customHeight="true" outlineLevel="0" collapsed="false">
      <c r="A8" s="12" t="s">
        <v>71</v>
      </c>
      <c r="B8" s="32" t="n">
        <f aca="false">B5+B7</f>
        <v>32.76</v>
      </c>
      <c r="C8" s="32" t="n">
        <f aca="false">C5+C7</f>
        <v>139.15</v>
      </c>
      <c r="D8" s="32" t="n">
        <f aca="false">D5+D7</f>
        <v>391.99</v>
      </c>
      <c r="E8" s="32" t="n">
        <f aca="false">E5+E7</f>
        <v>821.21</v>
      </c>
      <c r="F8" s="32" t="n">
        <f aca="false">F5+F7</f>
        <v>1532.32</v>
      </c>
    </row>
    <row r="9" customFormat="false" ht="19.5" hidden="false" customHeight="true" outlineLevel="0" collapsed="false">
      <c r="A9" s="12" t="s">
        <v>65</v>
      </c>
      <c r="B9" s="33" t="n">
        <f aca="false">IF(B5=0,0,B8/B5)</f>
        <v>0.947916666666667</v>
      </c>
      <c r="C9" s="33" t="n">
        <f aca="false">IF(C5=0,0,C8/C5)</f>
        <v>0.954455038068455</v>
      </c>
      <c r="D9" s="33" t="n">
        <f aca="false">IF(D5=0,0,D8/D5)</f>
        <v>0.962978430698177</v>
      </c>
      <c r="E9" s="33" t="n">
        <f aca="false">IF(E5=0,0,E8/E5)</f>
        <v>0.968590771843744</v>
      </c>
      <c r="F9" s="33" t="n">
        <f aca="false">IF(F5=0,0,F8/F5)</f>
        <v>0.975211134941799</v>
      </c>
    </row>
    <row r="10" customFormat="false" ht="19.5" hidden="false" customHeight="true" outlineLevel="0" collapsed="false">
      <c r="A10" s="23" t="s">
        <v>72</v>
      </c>
    </row>
    <row r="11" customFormat="false" ht="19.5" hidden="false" customHeight="true" outlineLevel="0" collapsed="false">
      <c r="A11" s="12" t="s">
        <v>73</v>
      </c>
      <c r="B11" s="34" t="n">
        <f aca="false">-Assumptions!B13*12</f>
        <v>-36</v>
      </c>
      <c r="C11" s="34" t="n">
        <f aca="false">-Assumptions!C13*12</f>
        <v>-60</v>
      </c>
      <c r="D11" s="34" t="n">
        <f aca="false">-Assumptions!D13*12</f>
        <v>-96</v>
      </c>
      <c r="E11" s="34" t="n">
        <f aca="false">-Assumptions!E13*12</f>
        <v>-144</v>
      </c>
      <c r="F11" s="34" t="n">
        <f aca="false">-Assumptions!F13*12</f>
        <v>-192</v>
      </c>
    </row>
    <row r="12" customFormat="false" ht="19.5" hidden="false" customHeight="true" outlineLevel="0" collapsed="false">
      <c r="A12" s="12" t="s">
        <v>74</v>
      </c>
      <c r="B12" s="34" t="n">
        <f aca="false">-Assumptions!B14*Assumptions!B15*12</f>
        <v>-36</v>
      </c>
      <c r="C12" s="34" t="n">
        <f aca="false">-Assumptions!C14*Assumptions!C15*12</f>
        <v>-76.8</v>
      </c>
      <c r="D12" s="34" t="n">
        <f aca="false">-Assumptions!D14*Assumptions!D15*12</f>
        <v>-142.8</v>
      </c>
      <c r="E12" s="34" t="n">
        <f aca="false">-Assumptions!E14*Assumptions!E15*12</f>
        <v>-237.6</v>
      </c>
      <c r="F12" s="34" t="n">
        <f aca="false">-Assumptions!F14*Assumptions!F15*12</f>
        <v>-342</v>
      </c>
    </row>
    <row r="13" customFormat="false" ht="19.5" hidden="false" customHeight="true" outlineLevel="0" collapsed="false">
      <c r="A13" s="12" t="s">
        <v>75</v>
      </c>
      <c r="B13" s="34" t="n">
        <f aca="false">-Assumptions!B16*Assumptions!B17*12</f>
        <v>-19.2</v>
      </c>
      <c r="C13" s="34" t="n">
        <f aca="false">-Assumptions!C16*Assumptions!C17*12</f>
        <v>-43.2</v>
      </c>
      <c r="D13" s="34" t="n">
        <f aca="false">-Assumptions!D16*Assumptions!D17*12</f>
        <v>-96</v>
      </c>
      <c r="E13" s="34" t="n">
        <f aca="false">-Assumptions!E16*Assumptions!E17*12</f>
        <v>-184.8</v>
      </c>
      <c r="F13" s="34" t="n">
        <f aca="false">-Assumptions!F16*Assumptions!F17*12</f>
        <v>-288</v>
      </c>
    </row>
    <row r="14" customFormat="false" ht="19.5" hidden="false" customHeight="true" outlineLevel="0" collapsed="false">
      <c r="A14" s="12" t="s">
        <v>76</v>
      </c>
      <c r="B14" s="34" t="n">
        <f aca="false">-B5*Assumptions!B20</f>
        <v>-10.368</v>
      </c>
      <c r="C14" s="34" t="n">
        <f aca="false">-C5*Assumptions!C20</f>
        <v>-36.4475</v>
      </c>
      <c r="D14" s="34" t="n">
        <f aca="false">-D5*Assumptions!D20</f>
        <v>-89.5532</v>
      </c>
      <c r="E14" s="34" t="n">
        <f aca="false">-E5*Assumptions!E20</f>
        <v>-169.568</v>
      </c>
      <c r="F14" s="34" t="n">
        <f aca="false">-F5*Assumptions!F20</f>
        <v>-282.8286</v>
      </c>
    </row>
    <row r="15" customFormat="false" ht="19.5" hidden="false" customHeight="true" outlineLevel="0" collapsed="false">
      <c r="A15" s="12" t="s">
        <v>77</v>
      </c>
      <c r="B15" s="34" t="n">
        <f aca="false">-Assumptions!B19*12</f>
        <v>-6</v>
      </c>
      <c r="C15" s="34" t="n">
        <f aca="false">-Assumptions!C19*12</f>
        <v>-9.6</v>
      </c>
      <c r="D15" s="34" t="n">
        <f aca="false">-Assumptions!D19*12</f>
        <v>-14.4</v>
      </c>
      <c r="E15" s="34" t="n">
        <f aca="false">-Assumptions!E19*12</f>
        <v>-21.6</v>
      </c>
      <c r="F15" s="34" t="n">
        <f aca="false">-Assumptions!F19*12</f>
        <v>-30</v>
      </c>
    </row>
    <row r="16" customFormat="false" ht="19.5" hidden="false" customHeight="true" outlineLevel="0" collapsed="false">
      <c r="A16" s="12" t="s">
        <v>78</v>
      </c>
      <c r="B16" s="32" t="n">
        <f aca="false">SUM(B11:B15)</f>
        <v>-107.568</v>
      </c>
      <c r="C16" s="32" t="n">
        <f aca="false">SUM(C11:C15)</f>
        <v>-226.0475</v>
      </c>
      <c r="D16" s="32" t="n">
        <f aca="false">SUM(D11:D15)</f>
        <v>-438.7532</v>
      </c>
      <c r="E16" s="32" t="n">
        <f aca="false">SUM(E11:E15)</f>
        <v>-757.568</v>
      </c>
      <c r="F16" s="32" t="n">
        <f aca="false">SUM(F11:F15)</f>
        <v>-1134.8286</v>
      </c>
    </row>
    <row r="17" customFormat="false" ht="19.5" hidden="false" customHeight="true" outlineLevel="0" collapsed="false">
      <c r="A17" s="23" t="s">
        <v>79</v>
      </c>
      <c r="B17" s="35" t="n">
        <f aca="false">B8+B16</f>
        <v>-74.808</v>
      </c>
      <c r="C17" s="35" t="n">
        <f aca="false">C8+C16</f>
        <v>-86.8975</v>
      </c>
      <c r="D17" s="35" t="n">
        <f aca="false">D8+D16</f>
        <v>-46.7632</v>
      </c>
      <c r="E17" s="35" t="n">
        <f aca="false">E8+E16</f>
        <v>63.6419999999999</v>
      </c>
      <c r="F17" s="35" t="n">
        <f aca="false">F8+F16</f>
        <v>397.4914</v>
      </c>
    </row>
    <row r="18" customFormat="false" ht="19.5" hidden="false" customHeight="true" outlineLevel="0" collapsed="false">
      <c r="A18" s="12" t="s">
        <v>80</v>
      </c>
      <c r="B18" s="33" t="n">
        <f aca="false">IF(B5=0,0,B17/B5)</f>
        <v>-2.16458333333333</v>
      </c>
      <c r="C18" s="33" t="n">
        <f aca="false">IF(C5=0,0,C17/C5)</f>
        <v>-0.596045682145552</v>
      </c>
      <c r="D18" s="33" t="n">
        <f aca="false">IF(D5=0,0,D17/D5)</f>
        <v>-0.114880361617452</v>
      </c>
      <c r="E18" s="33" t="n">
        <f aca="false">IF(E5=0,0,E17/E5)</f>
        <v>0.0750636912625023</v>
      </c>
      <c r="F18" s="33" t="n">
        <f aca="false">IF(F5=0,0,F17/F5)</f>
        <v>0.252974600164198</v>
      </c>
    </row>
    <row r="19" customFormat="false" ht="19.5" hidden="false" customHeight="true" outlineLevel="0" collapsed="false">
      <c r="A19" s="12" t="s">
        <v>81</v>
      </c>
      <c r="B19" s="34" t="n">
        <f aca="false">-B5*0.05</f>
        <v>-1.728</v>
      </c>
      <c r="C19" s="34" t="n">
        <f aca="false">-C5*0.05</f>
        <v>-7.2895</v>
      </c>
      <c r="D19" s="34" t="n">
        <f aca="false">-D5*0.05</f>
        <v>-20.353</v>
      </c>
      <c r="E19" s="34" t="n">
        <f aca="false">-E5*0.05</f>
        <v>-42.392</v>
      </c>
      <c r="F19" s="34" t="n">
        <f aca="false">-F5*0.05</f>
        <v>-78.5635</v>
      </c>
    </row>
    <row r="20" customFormat="false" ht="19.5" hidden="false" customHeight="true" outlineLevel="0" collapsed="false">
      <c r="A20" s="12" t="s">
        <v>82</v>
      </c>
      <c r="B20" s="32" t="n">
        <f aca="false">B17+B19</f>
        <v>-76.536</v>
      </c>
      <c r="C20" s="32" t="n">
        <f aca="false">C17+C19</f>
        <v>-94.187</v>
      </c>
      <c r="D20" s="32" t="n">
        <f aca="false">D17+D19</f>
        <v>-67.1162</v>
      </c>
      <c r="E20" s="32" t="n">
        <f aca="false">E17+E19</f>
        <v>21.2499999999999</v>
      </c>
      <c r="F20" s="32" t="n">
        <f aca="false">F17+F19</f>
        <v>318.9279</v>
      </c>
    </row>
    <row r="21" customFormat="false" ht="19.5" hidden="false" customHeight="true" outlineLevel="0" collapsed="false">
      <c r="A21" s="12" t="s">
        <v>83</v>
      </c>
      <c r="B21" s="34" t="n">
        <f aca="false">IF(B20&gt;0,-B20*0.25,0)</f>
        <v>0</v>
      </c>
      <c r="C21" s="34" t="n">
        <f aca="false">IF(C20&gt;0,-C20*0.25,0)</f>
        <v>0</v>
      </c>
      <c r="D21" s="34" t="n">
        <f aca="false">IF(D20&gt;0,-D20*0.25,0)</f>
        <v>0</v>
      </c>
      <c r="E21" s="34" t="n">
        <f aca="false">IF(E20&gt;0,-E20*0.25,0)</f>
        <v>-5.31249999999998</v>
      </c>
      <c r="F21" s="34" t="n">
        <f aca="false">IF(F20&gt;0,-F20*0.25,0)</f>
        <v>-79.731975</v>
      </c>
    </row>
    <row r="22" customFormat="false" ht="19.5" hidden="false" customHeight="true" outlineLevel="0" collapsed="false">
      <c r="A22" s="23" t="s">
        <v>84</v>
      </c>
      <c r="B22" s="35" t="n">
        <f aca="false">B20+B21</f>
        <v>-76.536</v>
      </c>
      <c r="C22" s="35" t="n">
        <f aca="false">C20+C21</f>
        <v>-94.187</v>
      </c>
      <c r="D22" s="35" t="n">
        <f aca="false">D20+D21</f>
        <v>-67.1162</v>
      </c>
      <c r="E22" s="35" t="n">
        <f aca="false">E20+E21</f>
        <v>15.9375</v>
      </c>
      <c r="F22" s="35" t="n">
        <f aca="false">F20+F21</f>
        <v>239.195925</v>
      </c>
    </row>
    <row r="23" customFormat="false" ht="19.5" hidden="false" customHeight="true" outlineLevel="0" collapsed="false">
      <c r="A23" s="12" t="s">
        <v>85</v>
      </c>
      <c r="B23" s="33" t="n">
        <f aca="false">IF(B5=0,0,B22/B5)</f>
        <v>-2.21458333333333</v>
      </c>
      <c r="C23" s="33" t="n">
        <f aca="false">IF(C5=0,0,C22/C5)</f>
        <v>-0.646045682145552</v>
      </c>
      <c r="D23" s="33" t="n">
        <f aca="false">IF(D5=0,0,D22/D5)</f>
        <v>-0.164880361617452</v>
      </c>
      <c r="E23" s="33" t="n">
        <f aca="false">IF(E5=0,0,E22/E5)</f>
        <v>0.0187977684468767</v>
      </c>
      <c r="F23" s="33" t="n">
        <f aca="false">IF(F5=0,0,F22/F5)</f>
        <v>0.152230950123149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6"/>
  </cols>
  <sheetData>
    <row r="1" customFormat="false" ht="34.5" hidden="false" customHeight="true" outlineLevel="0" collapsed="false">
      <c r="A1" s="9" t="s">
        <v>86</v>
      </c>
      <c r="B1" s="9"/>
      <c r="C1" s="9"/>
      <c r="D1" s="9"/>
      <c r="E1" s="9"/>
      <c r="F1" s="9"/>
      <c r="G1" s="9"/>
    </row>
    <row r="2" customFormat="false" ht="21.75" hidden="false" customHeight="true" outlineLevel="0" collapsed="false"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</row>
    <row r="3" customFormat="false" ht="19.5" hidden="false" customHeight="true" outlineLevel="0" collapsed="false">
      <c r="A3" s="23" t="s">
        <v>87</v>
      </c>
    </row>
    <row r="4" customFormat="false" ht="19.5" hidden="false" customHeight="true" outlineLevel="0" collapsed="false">
      <c r="A4" s="12" t="s">
        <v>88</v>
      </c>
      <c r="B4" s="31" t="n">
        <f aca="false">'P&amp;L'!B22</f>
        <v>-76.536</v>
      </c>
      <c r="C4" s="31" t="n">
        <f aca="false">'P&amp;L'!C22</f>
        <v>-94.187</v>
      </c>
      <c r="D4" s="31" t="n">
        <f aca="false">'P&amp;L'!D22</f>
        <v>-67.1162</v>
      </c>
      <c r="E4" s="31" t="n">
        <f aca="false">'P&amp;L'!E22</f>
        <v>15.9375</v>
      </c>
      <c r="F4" s="31" t="n">
        <f aca="false">'P&amp;L'!F22</f>
        <v>239.195925</v>
      </c>
    </row>
    <row r="5" customFormat="false" ht="19.5" hidden="false" customHeight="true" outlineLevel="0" collapsed="false">
      <c r="A5" s="12" t="s">
        <v>89</v>
      </c>
      <c r="B5" s="34" t="n">
        <f aca="false">-'P&amp;L'!B19</f>
        <v>1.728</v>
      </c>
      <c r="C5" s="34" t="n">
        <f aca="false">-'P&amp;L'!C19</f>
        <v>7.2895</v>
      </c>
      <c r="D5" s="34" t="n">
        <f aca="false">-'P&amp;L'!D19</f>
        <v>20.353</v>
      </c>
      <c r="E5" s="34" t="n">
        <f aca="false">-'P&amp;L'!E19</f>
        <v>42.392</v>
      </c>
      <c r="F5" s="34" t="n">
        <f aca="false">-'P&amp;L'!F19</f>
        <v>78.5635</v>
      </c>
    </row>
    <row r="6" customFormat="false" ht="19.5" hidden="false" customHeight="true" outlineLevel="0" collapsed="false">
      <c r="A6" s="12" t="s">
        <v>90</v>
      </c>
      <c r="B6" s="34" t="n">
        <f aca="false">-'Revenue Model'!B14*0.05</f>
        <v>-1.728</v>
      </c>
      <c r="C6" s="34" t="n">
        <f aca="false">-'Revenue Model'!C14*0.05</f>
        <v>-7.2895</v>
      </c>
      <c r="D6" s="34" t="n">
        <f aca="false">-'Revenue Model'!D14*0.05</f>
        <v>-20.353</v>
      </c>
      <c r="E6" s="34" t="n">
        <f aca="false">-'Revenue Model'!E14*0.05</f>
        <v>-42.392</v>
      </c>
      <c r="F6" s="34" t="n">
        <f aca="false">-'Revenue Model'!F14*0.05</f>
        <v>-78.5635</v>
      </c>
    </row>
    <row r="7" customFormat="false" ht="19.5" hidden="false" customHeight="true" outlineLevel="0" collapsed="false">
      <c r="A7" s="12" t="s">
        <v>91</v>
      </c>
      <c r="B7" s="32" t="n">
        <f aca="false">B4+B5+B6</f>
        <v>-76.536</v>
      </c>
      <c r="C7" s="32" t="n">
        <f aca="false">C4+C5+C6</f>
        <v>-94.187</v>
      </c>
      <c r="D7" s="32" t="n">
        <f aca="false">D4+D5+D6</f>
        <v>-67.1162</v>
      </c>
      <c r="E7" s="32" t="n">
        <f aca="false">E4+E5+E6</f>
        <v>15.9375</v>
      </c>
      <c r="F7" s="32" t="n">
        <f aca="false">F4+F5+F6</f>
        <v>239.195925</v>
      </c>
    </row>
    <row r="8" customFormat="false" ht="19.5" hidden="false" customHeight="true" outlineLevel="0" collapsed="false">
      <c r="A8" s="23" t="s">
        <v>92</v>
      </c>
    </row>
    <row r="9" customFormat="false" ht="19.5" hidden="false" customHeight="true" outlineLevel="0" collapsed="false">
      <c r="A9" s="12" t="s">
        <v>93</v>
      </c>
      <c r="B9" s="34" t="n">
        <f aca="false">-'Revenue Model'!B14*0.1</f>
        <v>-3.456</v>
      </c>
      <c r="C9" s="34" t="n">
        <f aca="false">-'Revenue Model'!C14*0.1</f>
        <v>-14.579</v>
      </c>
      <c r="D9" s="34" t="n">
        <f aca="false">-'Revenue Model'!D14*0.1</f>
        <v>-40.706</v>
      </c>
      <c r="E9" s="34" t="n">
        <f aca="false">-'Revenue Model'!E14*0.1</f>
        <v>-84.784</v>
      </c>
      <c r="F9" s="34" t="n">
        <f aca="false">-'Revenue Model'!F14*0.1</f>
        <v>-157.127</v>
      </c>
    </row>
    <row r="10" customFormat="false" ht="19.5" hidden="false" customHeight="true" outlineLevel="0" collapsed="false">
      <c r="A10" s="12" t="s">
        <v>94</v>
      </c>
      <c r="B10" s="32" t="n">
        <f aca="false">B9</f>
        <v>-3.456</v>
      </c>
      <c r="C10" s="32" t="n">
        <f aca="false">C9</f>
        <v>-14.579</v>
      </c>
      <c r="D10" s="32" t="n">
        <f aca="false">D9</f>
        <v>-40.706</v>
      </c>
      <c r="E10" s="32" t="n">
        <f aca="false">E9</f>
        <v>-84.784</v>
      </c>
      <c r="F10" s="32" t="n">
        <f aca="false">F9</f>
        <v>-157.127</v>
      </c>
    </row>
    <row r="11" customFormat="false" ht="19.5" hidden="false" customHeight="true" outlineLevel="0" collapsed="false">
      <c r="A11" s="23" t="s">
        <v>95</v>
      </c>
    </row>
    <row r="12" customFormat="false" ht="19.5" hidden="false" customHeight="true" outlineLevel="0" collapsed="false">
      <c r="A12" s="12" t="s">
        <v>96</v>
      </c>
      <c r="B12" s="36" t="n">
        <v>50</v>
      </c>
      <c r="C12" s="36" t="n">
        <v>0</v>
      </c>
      <c r="D12" s="36" t="n">
        <v>150</v>
      </c>
      <c r="E12" s="36" t="n">
        <v>0</v>
      </c>
      <c r="F12" s="36" t="n">
        <v>0</v>
      </c>
    </row>
    <row r="13" customFormat="false" ht="19.5" hidden="false" customHeight="true" outlineLevel="0" collapsed="false">
      <c r="A13" s="12" t="s">
        <v>97</v>
      </c>
      <c r="B13" s="32" t="n">
        <f aca="false">B12</f>
        <v>50</v>
      </c>
      <c r="C13" s="32" t="n">
        <f aca="false">C12</f>
        <v>0</v>
      </c>
      <c r="D13" s="32" t="n">
        <f aca="false">D12</f>
        <v>150</v>
      </c>
      <c r="E13" s="32" t="n">
        <f aca="false">E12</f>
        <v>0</v>
      </c>
      <c r="F13" s="32" t="n">
        <f aca="false">F12</f>
        <v>0</v>
      </c>
    </row>
    <row r="14" customFormat="false" ht="19.5" hidden="false" customHeight="true" outlineLevel="0" collapsed="false">
      <c r="A14" s="23" t="s">
        <v>98</v>
      </c>
      <c r="B14" s="35" t="n">
        <f aca="false">B7+B10+B13</f>
        <v>-29.992</v>
      </c>
      <c r="C14" s="35" t="n">
        <f aca="false">C7+C10+C13</f>
        <v>-108.766</v>
      </c>
      <c r="D14" s="35" t="n">
        <f aca="false">D7+D10+D13</f>
        <v>42.1778</v>
      </c>
      <c r="E14" s="35" t="n">
        <f aca="false">E7+E10+E13</f>
        <v>-68.8465000000001</v>
      </c>
      <c r="F14" s="35" t="n">
        <f aca="false">F7+F10+F13</f>
        <v>82.068925</v>
      </c>
    </row>
    <row r="15" customFormat="false" ht="19.5" hidden="false" customHeight="true" outlineLevel="0" collapsed="false">
      <c r="A15" s="12" t="s">
        <v>99</v>
      </c>
      <c r="B15" s="37" t="n">
        <v>0</v>
      </c>
      <c r="C15" s="34" t="n">
        <f aca="false">B16</f>
        <v>-29.992</v>
      </c>
      <c r="D15" s="34" t="n">
        <f aca="false">C16</f>
        <v>-138.758</v>
      </c>
      <c r="E15" s="34" t="n">
        <f aca="false">D16</f>
        <v>-96.5802</v>
      </c>
      <c r="F15" s="34" t="n">
        <f aca="false">E16</f>
        <v>-165.4267</v>
      </c>
    </row>
    <row r="16" customFormat="false" ht="19.5" hidden="false" customHeight="true" outlineLevel="0" collapsed="false">
      <c r="A16" s="12" t="s">
        <v>100</v>
      </c>
      <c r="B16" s="35" t="n">
        <f aca="false">B15+B14</f>
        <v>-29.992</v>
      </c>
      <c r="C16" s="35" t="n">
        <f aca="false">C15+C14</f>
        <v>-138.758</v>
      </c>
      <c r="D16" s="35" t="n">
        <f aca="false">D15+D14</f>
        <v>-96.5802</v>
      </c>
      <c r="E16" s="35" t="n">
        <f aca="false">E15+E14</f>
        <v>-165.4267</v>
      </c>
      <c r="F16" s="35" t="n">
        <f aca="false">F15+F14</f>
        <v>-83.3577750000001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6"/>
  </cols>
  <sheetData>
    <row r="1" customFormat="false" ht="34.5" hidden="false" customHeight="true" outlineLevel="0" collapsed="false">
      <c r="A1" s="9" t="s">
        <v>101</v>
      </c>
      <c r="B1" s="9"/>
      <c r="C1" s="9"/>
      <c r="D1" s="9"/>
      <c r="E1" s="9"/>
      <c r="F1" s="9"/>
      <c r="G1" s="9"/>
    </row>
    <row r="2" customFormat="false" ht="21.75" hidden="false" customHeight="true" outlineLevel="0" collapsed="false"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</row>
    <row r="3" customFormat="false" ht="19.5" hidden="false" customHeight="true" outlineLevel="0" collapsed="false">
      <c r="A3" s="23" t="s">
        <v>102</v>
      </c>
    </row>
    <row r="4" customFormat="false" ht="19.5" hidden="false" customHeight="true" outlineLevel="0" collapsed="false">
      <c r="A4" s="12" t="s">
        <v>103</v>
      </c>
      <c r="B4" s="38" t="n">
        <f aca="false">'Revenue Model'!B5</f>
        <v>60</v>
      </c>
      <c r="C4" s="38" t="n">
        <f aca="false">'Revenue Model'!C5</f>
        <v>144</v>
      </c>
      <c r="D4" s="38" t="n">
        <f aca="false">'Revenue Model'!D5</f>
        <v>300</v>
      </c>
      <c r="E4" s="38" t="n">
        <f aca="false">'Revenue Model'!E5</f>
        <v>480</v>
      </c>
      <c r="F4" s="38" t="n">
        <f aca="false">'Revenue Model'!F5</f>
        <v>660</v>
      </c>
    </row>
    <row r="5" customFormat="false" ht="19.5" hidden="false" customHeight="true" outlineLevel="0" collapsed="false">
      <c r="A5" s="12" t="s">
        <v>104</v>
      </c>
      <c r="B5" s="34" t="n">
        <f aca="false">-'P&amp;L'!B13</f>
        <v>19.2</v>
      </c>
      <c r="C5" s="34" t="n">
        <f aca="false">-'P&amp;L'!C13</f>
        <v>43.2</v>
      </c>
      <c r="D5" s="34" t="n">
        <f aca="false">-'P&amp;L'!D13</f>
        <v>96</v>
      </c>
      <c r="E5" s="34" t="n">
        <f aca="false">-'P&amp;L'!E13</f>
        <v>184.8</v>
      </c>
      <c r="F5" s="34" t="n">
        <f aca="false">-'P&amp;L'!F13</f>
        <v>288</v>
      </c>
    </row>
    <row r="6" customFormat="false" ht="19.5" hidden="false" customHeight="true" outlineLevel="0" collapsed="false">
      <c r="A6" s="12" t="s">
        <v>105</v>
      </c>
      <c r="B6" s="34" t="n">
        <f aca="false">-'P&amp;L'!B14</f>
        <v>10.368</v>
      </c>
      <c r="C6" s="34" t="n">
        <f aca="false">-'P&amp;L'!C14</f>
        <v>36.4475</v>
      </c>
      <c r="D6" s="34" t="n">
        <f aca="false">-'P&amp;L'!D14</f>
        <v>89.5532</v>
      </c>
      <c r="E6" s="34" t="n">
        <f aca="false">-'P&amp;L'!E14</f>
        <v>169.568</v>
      </c>
      <c r="F6" s="34" t="n">
        <f aca="false">-'P&amp;L'!F14</f>
        <v>282.8286</v>
      </c>
    </row>
    <row r="7" customFormat="false" ht="19.5" hidden="false" customHeight="true" outlineLevel="0" collapsed="false">
      <c r="A7" s="12" t="s">
        <v>106</v>
      </c>
      <c r="B7" s="34" t="n">
        <f aca="false">B5+B6</f>
        <v>29.568</v>
      </c>
      <c r="C7" s="34" t="n">
        <f aca="false">C5+C6</f>
        <v>79.6475</v>
      </c>
      <c r="D7" s="34" t="n">
        <f aca="false">D5+D6</f>
        <v>185.5532</v>
      </c>
      <c r="E7" s="34" t="n">
        <f aca="false">E5+E6</f>
        <v>354.368</v>
      </c>
      <c r="F7" s="34" t="n">
        <f aca="false">F5+F6</f>
        <v>570.8286</v>
      </c>
    </row>
    <row r="8" customFormat="false" ht="19.5" hidden="false" customHeight="true" outlineLevel="0" collapsed="false">
      <c r="A8" s="12" t="s">
        <v>107</v>
      </c>
      <c r="B8" s="34" t="n">
        <f aca="false">IF(B4=0,0,B7*100000/B4)</f>
        <v>49280</v>
      </c>
      <c r="C8" s="34" t="n">
        <f aca="false">IF(C4=0,0,C7*100000/C4)</f>
        <v>55310.7638888889</v>
      </c>
      <c r="D8" s="34" t="n">
        <f aca="false">IF(D4=0,0,D7*100000/D4)</f>
        <v>61851.0666666667</v>
      </c>
      <c r="E8" s="34" t="n">
        <f aca="false">IF(E4=0,0,E7*100000/E4)</f>
        <v>73826.6666666667</v>
      </c>
      <c r="F8" s="34" t="n">
        <f aca="false">IF(F4=0,0,F7*100000/F4)</f>
        <v>86489.1818181818</v>
      </c>
    </row>
    <row r="9" customFormat="false" ht="19.5" hidden="false" customHeight="true" outlineLevel="0" collapsed="false">
      <c r="A9" s="23" t="s">
        <v>108</v>
      </c>
    </row>
    <row r="10" customFormat="false" ht="19.5" hidden="false" customHeight="true" outlineLevel="0" collapsed="false">
      <c r="A10" s="12" t="s">
        <v>109</v>
      </c>
      <c r="B10" s="34" t="n">
        <f aca="false">Assumptions!B23</f>
        <v>9599</v>
      </c>
      <c r="C10" s="34" t="n">
        <f aca="false">Assumptions!C23</f>
        <v>9899</v>
      </c>
      <c r="D10" s="34" t="n">
        <f aca="false">Assumptions!D23</f>
        <v>10799</v>
      </c>
      <c r="E10" s="34" t="n">
        <f aca="false">Assumptions!E23</f>
        <v>11124</v>
      </c>
      <c r="F10" s="34" t="n">
        <f aca="false">Assumptions!F23</f>
        <v>12099</v>
      </c>
    </row>
    <row r="11" customFormat="false" ht="19.5" hidden="false" customHeight="true" outlineLevel="0" collapsed="false">
      <c r="A11" s="12" t="s">
        <v>20</v>
      </c>
      <c r="B11" s="33" t="n">
        <f aca="false">Assumptions!B6</f>
        <v>0.03</v>
      </c>
      <c r="C11" s="33" t="n">
        <f aca="false">Assumptions!C6</f>
        <v>0.025</v>
      </c>
      <c r="D11" s="33" t="n">
        <f aca="false">Assumptions!D6</f>
        <v>0.02</v>
      </c>
      <c r="E11" s="33" t="n">
        <f aca="false">Assumptions!E6</f>
        <v>0.018</v>
      </c>
      <c r="F11" s="33" t="n">
        <f aca="false">Assumptions!F6</f>
        <v>0.015</v>
      </c>
    </row>
    <row r="12" customFormat="false" ht="19.5" hidden="false" customHeight="true" outlineLevel="0" collapsed="false">
      <c r="A12" s="12" t="s">
        <v>110</v>
      </c>
      <c r="B12" s="17" t="n">
        <f aca="false">IF(Assumptions!B6=0,0,1/Assumptions!B6)</f>
        <v>33.3333333333333</v>
      </c>
      <c r="C12" s="17" t="n">
        <f aca="false">IF(Assumptions!C6=0,0,1/Assumptions!C6)</f>
        <v>40</v>
      </c>
      <c r="D12" s="17" t="n">
        <f aca="false">IF(Assumptions!D6=0,0,1/Assumptions!D6)</f>
        <v>50</v>
      </c>
      <c r="E12" s="17" t="n">
        <f aca="false">IF(Assumptions!E6=0,0,1/Assumptions!E6)</f>
        <v>55.5555555555556</v>
      </c>
      <c r="F12" s="17" t="n">
        <f aca="false">IF(Assumptions!F6=0,0,1/Assumptions!F6)</f>
        <v>66.6666666666667</v>
      </c>
    </row>
    <row r="13" customFormat="false" ht="19.5" hidden="false" customHeight="true" outlineLevel="0" collapsed="false">
      <c r="A13" s="12" t="s">
        <v>111</v>
      </c>
      <c r="B13" s="34" t="n">
        <f aca="false">IF(Assumptions!B6=0,0,B10/Assumptions!B6)</f>
        <v>319966.666666667</v>
      </c>
      <c r="C13" s="34" t="n">
        <f aca="false">IF(Assumptions!C6=0,0,C10/Assumptions!C6)</f>
        <v>395960</v>
      </c>
      <c r="D13" s="34" t="n">
        <f aca="false">IF(Assumptions!D6=0,0,D10/Assumptions!D6)</f>
        <v>539950</v>
      </c>
      <c r="E13" s="34" t="n">
        <f aca="false">IF(Assumptions!E6=0,0,E10/Assumptions!E6)</f>
        <v>618000</v>
      </c>
      <c r="F13" s="34" t="n">
        <f aca="false">IF(Assumptions!F6=0,0,F10/Assumptions!F6)</f>
        <v>806600</v>
      </c>
    </row>
    <row r="14" customFormat="false" ht="19.5" hidden="false" customHeight="true" outlineLevel="0" collapsed="false">
      <c r="A14" s="12" t="s">
        <v>112</v>
      </c>
      <c r="B14" s="16" t="n">
        <f aca="false">IF(B8=0,0,B13/B8*100000)</f>
        <v>649283.008658009</v>
      </c>
      <c r="C14" s="16" t="n">
        <f aca="false">IF(C8=0,0,C13/C8*100000)</f>
        <v>715882.356633918</v>
      </c>
      <c r="D14" s="16" t="n">
        <f aca="false">IF(D8=0,0,D13/D8*100000)</f>
        <v>872984.136086039</v>
      </c>
      <c r="E14" s="16" t="n">
        <f aca="false">IF(E8=0,0,E13/E8*100000)</f>
        <v>837095.900307025</v>
      </c>
      <c r="F14" s="16" t="n">
        <f aca="false">IF(F8=0,0,F13/F8*100000)</f>
        <v>932602.185664839</v>
      </c>
    </row>
    <row r="15" customFormat="false" ht="19.5" hidden="false" customHeight="true" outlineLevel="0" collapsed="false">
      <c r="A15" s="12" t="s">
        <v>113</v>
      </c>
      <c r="B15" s="17" t="n">
        <f aca="false">IF(B10=0,0,B8/100000/B10)</f>
        <v>5.13386811126159E-005</v>
      </c>
      <c r="C15" s="17" t="n">
        <f aca="false">IF(C10=0,0,C8/100000/C10)</f>
        <v>5.58751024233649E-005</v>
      </c>
      <c r="D15" s="17" t="n">
        <f aca="false">IF(D10=0,0,D8/100000/D10)</f>
        <v>5.72748093959317E-005</v>
      </c>
      <c r="E15" s="17" t="n">
        <f aca="false">IF(E10=0,0,E8/100000/E10)</f>
        <v>6.63670142634544E-005</v>
      </c>
      <c r="F15" s="17" t="n">
        <f aca="false">IF(F10=0,0,F8/100000/F10)</f>
        <v>7.14845704753962E-005</v>
      </c>
    </row>
    <row r="16" customFormat="false" ht="19.5" hidden="false" customHeight="true" outlineLevel="0" collapsed="false">
      <c r="A16" s="23" t="s">
        <v>114</v>
      </c>
    </row>
    <row r="17" customFormat="false" ht="19.5" hidden="false" customHeight="true" outlineLevel="0" collapsed="false">
      <c r="A17" s="12" t="s">
        <v>115</v>
      </c>
      <c r="B17" s="34" t="n">
        <f aca="false">'Revenue Model'!B7*B10/100000</f>
        <v>5.7594</v>
      </c>
      <c r="C17" s="34" t="n">
        <f aca="false">'Revenue Model'!C7*C10/100000</f>
        <v>18.41214</v>
      </c>
      <c r="D17" s="34" t="n">
        <f aca="false">'Revenue Model'!D7*D10/100000</f>
        <v>47.62359</v>
      </c>
      <c r="E17" s="34" t="n">
        <f aca="false">'Revenue Model'!E7*E10/100000</f>
        <v>91.88424</v>
      </c>
      <c r="F17" s="34" t="n">
        <f aca="false">'Revenue Model'!F7*F10/100000</f>
        <v>161.76363</v>
      </c>
    </row>
    <row r="18" customFormat="false" ht="19.5" hidden="false" customHeight="true" outlineLevel="0" collapsed="false">
      <c r="A18" s="12" t="s">
        <v>116</v>
      </c>
      <c r="B18" s="34" t="n">
        <f aca="false">B17*12</f>
        <v>69.1128</v>
      </c>
      <c r="C18" s="34" t="n">
        <f aca="false">C17*12</f>
        <v>220.94568</v>
      </c>
      <c r="D18" s="34" t="n">
        <f aca="false">D17*12</f>
        <v>571.48308</v>
      </c>
      <c r="E18" s="34" t="n">
        <f aca="false">E17*12</f>
        <v>1102.61088</v>
      </c>
      <c r="F18" s="34" t="n">
        <f aca="false">F17*12</f>
        <v>1941.16356</v>
      </c>
    </row>
    <row r="19" customFormat="false" ht="19.5" hidden="false" customHeight="true" outlineLevel="0" collapsed="false">
      <c r="A19" s="12" t="s">
        <v>117</v>
      </c>
      <c r="B19" s="29" t="s">
        <v>60</v>
      </c>
      <c r="C19" s="33" t="n">
        <f aca="false">IF(B17=0,0,(C17-B17)/B17)</f>
        <v>2.1968850921971</v>
      </c>
      <c r="D19" s="33" t="n">
        <f aca="false">IF(C17=0,0,(D17-C17)/C17)</f>
        <v>1.58653203810095</v>
      </c>
      <c r="E19" s="33" t="n">
        <f aca="false">IF(D17=0,0,(E17-D17)/D17)</f>
        <v>0.929384995965235</v>
      </c>
      <c r="F19" s="33" t="n">
        <f aca="false">IF(E17=0,0,(F17-E17)/E17)</f>
        <v>0.76051551386832</v>
      </c>
    </row>
    <row r="20" customFormat="false" ht="19.5" hidden="false" customHeight="true" outlineLevel="0" collapsed="false">
      <c r="A20" s="12" t="s">
        <v>118</v>
      </c>
      <c r="B20" s="33" t="n">
        <f aca="false">1-Assumptions!B6+0.05</f>
        <v>1.02</v>
      </c>
      <c r="C20" s="33" t="n">
        <f aca="false">1-Assumptions!C6+0.05</f>
        <v>1.025</v>
      </c>
      <c r="D20" s="33" t="n">
        <f aca="false">1-Assumptions!D6+0.05</f>
        <v>1.03</v>
      </c>
      <c r="E20" s="33" t="n">
        <f aca="false">1-Assumptions!E6+0.05</f>
        <v>1.032</v>
      </c>
      <c r="F20" s="33" t="n">
        <f aca="false">1-Assumptions!F6+0.05</f>
        <v>1.035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</cols>
  <sheetData>
    <row r="1" customFormat="false" ht="34.5" hidden="false" customHeight="true" outlineLevel="0" collapsed="false">
      <c r="A1" s="9" t="s">
        <v>119</v>
      </c>
      <c r="B1" s="9"/>
      <c r="C1" s="9"/>
      <c r="D1" s="9"/>
      <c r="E1" s="9"/>
    </row>
    <row r="2" customFormat="false" ht="21.75" hidden="false" customHeight="true" outlineLevel="0" collapsed="false">
      <c r="A2" s="10" t="s">
        <v>120</v>
      </c>
      <c r="B2" s="39" t="s">
        <v>121</v>
      </c>
      <c r="C2" s="10" t="s">
        <v>122</v>
      </c>
      <c r="D2" s="40" t="s">
        <v>123</v>
      </c>
    </row>
    <row r="3" customFormat="false" ht="21.75" hidden="false" customHeight="true" outlineLevel="0" collapsed="false">
      <c r="A3" s="41" t="s">
        <v>124</v>
      </c>
      <c r="B3" s="41"/>
      <c r="C3" s="41"/>
      <c r="D3" s="41"/>
      <c r="E3" s="41"/>
    </row>
    <row r="4" customFormat="false" ht="21.75" hidden="false" customHeight="true" outlineLevel="0" collapsed="false">
      <c r="A4" s="12" t="s">
        <v>125</v>
      </c>
      <c r="B4" s="13" t="n">
        <v>30</v>
      </c>
      <c r="C4" s="13" t="n">
        <v>55</v>
      </c>
      <c r="D4" s="13" t="n">
        <v>90</v>
      </c>
    </row>
    <row r="5" customFormat="false" ht="21.75" hidden="false" customHeight="true" outlineLevel="0" collapsed="false">
      <c r="A5" s="12" t="s">
        <v>20</v>
      </c>
      <c r="B5" s="14" t="n">
        <v>0.03</v>
      </c>
      <c r="C5" s="14" t="n">
        <v>0.015</v>
      </c>
      <c r="D5" s="14" t="n">
        <v>0.008</v>
      </c>
    </row>
    <row r="6" customFormat="false" ht="21.75" hidden="false" customHeight="true" outlineLevel="0" collapsed="false">
      <c r="A6" s="12" t="s">
        <v>109</v>
      </c>
      <c r="B6" s="42" t="n">
        <v>8999</v>
      </c>
      <c r="C6" s="42" t="n">
        <v>11500</v>
      </c>
      <c r="D6" s="42" t="n">
        <v>13500</v>
      </c>
    </row>
    <row r="7" customFormat="false" ht="21.75" hidden="false" customHeight="true" outlineLevel="0" collapsed="false">
      <c r="A7" s="12" t="s">
        <v>65</v>
      </c>
      <c r="B7" s="14" t="n">
        <v>0.6</v>
      </c>
      <c r="C7" s="14" t="n">
        <v>0.75</v>
      </c>
      <c r="D7" s="14" t="n">
        <v>0.82</v>
      </c>
    </row>
    <row r="8" customFormat="false" ht="21.75" hidden="false" customHeight="true" outlineLevel="0" collapsed="false">
      <c r="A8" s="12" t="s">
        <v>126</v>
      </c>
      <c r="B8" s="14" t="n">
        <v>0.28</v>
      </c>
      <c r="C8" s="14" t="n">
        <v>0.18</v>
      </c>
      <c r="D8" s="14" t="n">
        <v>0.12</v>
      </c>
    </row>
    <row r="9" customFormat="false" ht="21.75" hidden="false" customHeight="true" outlineLevel="0" collapsed="false">
      <c r="A9" s="41" t="s">
        <v>127</v>
      </c>
      <c r="B9" s="41"/>
      <c r="C9" s="41"/>
      <c r="D9" s="41"/>
      <c r="E9" s="41"/>
    </row>
    <row r="10" customFormat="false" ht="21.75" hidden="false" customHeight="true" outlineLevel="0" collapsed="false">
      <c r="A10" s="12" t="s">
        <v>128</v>
      </c>
      <c r="B10" s="43" t="n">
        <v>280</v>
      </c>
      <c r="C10" s="44" t="n">
        <v>780</v>
      </c>
      <c r="D10" s="45" t="n">
        <v>1600</v>
      </c>
    </row>
    <row r="11" customFormat="false" ht="21.75" hidden="false" customHeight="true" outlineLevel="0" collapsed="false">
      <c r="A11" s="12" t="s">
        <v>61</v>
      </c>
      <c r="B11" s="46" t="n">
        <v>251</v>
      </c>
      <c r="C11" s="36" t="n">
        <v>1071</v>
      </c>
      <c r="D11" s="47" t="n">
        <v>2160</v>
      </c>
    </row>
    <row r="12" customFormat="false" ht="21.75" hidden="false" customHeight="true" outlineLevel="0" collapsed="false">
      <c r="A12" s="12" t="s">
        <v>64</v>
      </c>
      <c r="B12" s="46" t="n">
        <v>151</v>
      </c>
      <c r="C12" s="36" t="n">
        <v>803</v>
      </c>
      <c r="D12" s="47" t="n">
        <v>1771</v>
      </c>
    </row>
    <row r="13" customFormat="false" ht="21.75" hidden="false" customHeight="true" outlineLevel="0" collapsed="false">
      <c r="A13" s="12" t="s">
        <v>129</v>
      </c>
      <c r="B13" s="46" t="n">
        <v>-40</v>
      </c>
      <c r="C13" s="36" t="n">
        <v>310</v>
      </c>
      <c r="D13" s="47" t="n">
        <v>950</v>
      </c>
    </row>
    <row r="14" customFormat="false" ht="21.75" hidden="false" customHeight="true" outlineLevel="0" collapsed="false">
      <c r="A14" s="12" t="s">
        <v>80</v>
      </c>
      <c r="B14" s="48" t="n">
        <v>-0.16</v>
      </c>
      <c r="C14" s="14" t="n">
        <v>0.29</v>
      </c>
      <c r="D14" s="49" t="n">
        <v>0.44</v>
      </c>
    </row>
    <row r="15" customFormat="false" ht="21.75" hidden="false" customHeight="true" outlineLevel="0" collapsed="false">
      <c r="A15" s="12" t="s">
        <v>39</v>
      </c>
      <c r="B15" s="50" t="n">
        <v>1.2</v>
      </c>
      <c r="C15" s="51" t="n">
        <v>4.8</v>
      </c>
      <c r="D15" s="52" t="n">
        <v>9.5</v>
      </c>
    </row>
  </sheetData>
  <mergeCells count="3">
    <mergeCell ref="A1:E1"/>
    <mergeCell ref="A3:E3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2026-03-31T11:54:05Z</dcterms:created>
  <dc:creator>openpyxl</dc:creator>
  <dc:description/>
  <dc:language>en-US</dc:language>
  <cp:lastModifiedBy/>
  <dcterms:modified xsi:type="dcterms:W3CDTF">2026-03-31T11:54:52Z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